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quifez.inserta\Downloads\"/>
    </mc:Choice>
  </mc:AlternateContent>
  <xr:revisionPtr revIDLastSave="0" documentId="13_ncr:1_{B5F78FFD-8118-41D9-B99E-E198BB81280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E10" i="1"/>
  <c r="C10" i="1"/>
  <c r="F9" i="1"/>
  <c r="E9" i="1"/>
  <c r="C9" i="1"/>
  <c r="F8" i="1"/>
  <c r="E8" i="1"/>
  <c r="C8" i="1"/>
  <c r="F7" i="1"/>
  <c r="E7" i="1"/>
  <c r="C7" i="1"/>
  <c r="F6" i="1"/>
  <c r="E6" i="1"/>
  <c r="C6" i="1"/>
  <c r="F5" i="1"/>
  <c r="E5" i="1"/>
  <c r="C5" i="1"/>
  <c r="F4" i="1"/>
  <c r="E4" i="1"/>
  <c r="C4" i="1"/>
  <c r="F3" i="1"/>
  <c r="E3" i="1"/>
  <c r="C3" i="1"/>
  <c r="F2" i="1"/>
  <c r="E2" i="1"/>
  <c r="C2" i="1"/>
</calcChain>
</file>

<file path=xl/sharedStrings.xml><?xml version="1.0" encoding="utf-8"?>
<sst xmlns="http://schemas.openxmlformats.org/spreadsheetml/2006/main" count="26" uniqueCount="26">
  <si>
    <t>Comunidad Autónoma</t>
  </si>
  <si>
    <t>Valor</t>
  </si>
  <si>
    <t>Porcentaje</t>
  </si>
  <si>
    <t>Año anterior</t>
  </si>
  <si>
    <t>Porcentaje año anterior</t>
  </si>
  <si>
    <t>Diferencia anual</t>
  </si>
  <si>
    <t>Andalucía</t>
  </si>
  <si>
    <t>Aragón</t>
  </si>
  <si>
    <t>Asturias, Principado de</t>
  </si>
  <si>
    <t>Balears, Illes</t>
  </si>
  <si>
    <t>Canarias</t>
  </si>
  <si>
    <t>Cantabria</t>
  </si>
  <si>
    <t>Castilla y León</t>
  </si>
  <si>
    <t>Castilla - La Mancha</t>
  </si>
  <si>
    <t>Cataluña</t>
  </si>
  <si>
    <t>Comunitat Valenciana</t>
  </si>
  <si>
    <t>Extremadura</t>
  </si>
  <si>
    <t>Galicia</t>
  </si>
  <si>
    <t>Madrid, Comunidad de</t>
  </si>
  <si>
    <t>Murcia, Región de</t>
  </si>
  <si>
    <t>Navarra, Comunidad Foral de</t>
  </si>
  <si>
    <t>País Vasco</t>
  </si>
  <si>
    <t>Rioja, La</t>
  </si>
  <si>
    <t>Melilla</t>
  </si>
  <si>
    <t>Total</t>
  </si>
  <si>
    <t>Ceuta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</si>
</sst>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0"/>
      <color rgb="FF000000"/>
      <name val="Arial"/>
      <scheme val="minor"/>
    </font>
    <font>
      <b/>
      <sz val="14"/>
      <color rgb="FF000000"/>
      <name val="Roboto"/>
    </font>
    <font>
      <b/>
      <sz val="11"/>
      <color rgb="FFC00000"/>
      <name val="Roboto"/>
    </font>
    <font>
      <b/>
      <sz val="11"/>
      <color rgb="FF000000"/>
      <name val="Calibri"/>
    </font>
    <font>
      <sz val="11"/>
      <color rgb="FF000000"/>
      <name val="Roboto"/>
    </font>
    <font>
      <sz val="11"/>
      <color rgb="FFFFFFFF"/>
      <name val="Roboto"/>
    </font>
    <font>
      <sz val="9"/>
      <color rgb="FF000000"/>
      <name val="Arial"/>
    </font>
    <font>
      <sz val="11"/>
      <color rgb="FF000000"/>
      <name val="Calibri"/>
    </font>
    <font>
      <b/>
      <sz val="11"/>
      <color rgb="FF000000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54B8C"/>
        <bgColor rgb="FF254B8C"/>
      </patternFill>
    </fill>
    <fill>
      <patternFill patternType="solid">
        <fgColor rgb="FFF3F4F7"/>
        <bgColor rgb="FFF3F4F7"/>
      </patternFill>
    </fill>
  </fills>
  <borders count="6">
    <border>
      <left/>
      <right/>
      <top/>
      <bottom/>
      <diagonal/>
    </border>
    <border>
      <left/>
      <right/>
      <top/>
      <bottom style="thin">
        <color rgb="FFC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2F2F2"/>
      </top>
      <bottom/>
      <diagonal/>
    </border>
    <border>
      <left/>
      <right/>
      <top style="thin">
        <color rgb="FFC00000"/>
      </top>
      <bottom style="thin">
        <color rgb="FFF2F2F2"/>
      </bottom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vertical="top"/>
    </xf>
    <xf numFmtId="3" fontId="4" fillId="2" borderId="0" xfId="0" applyNumberFormat="1" applyFont="1" applyFill="1" applyAlignment="1">
      <alignment horizontal="right" vertical="top"/>
    </xf>
    <xf numFmtId="164" fontId="5" fillId="3" borderId="0" xfId="0" applyNumberFormat="1" applyFont="1" applyFill="1" applyAlignment="1">
      <alignment horizontal="center" vertical="top"/>
    </xf>
    <xf numFmtId="3" fontId="6" fillId="4" borderId="2" xfId="0" applyNumberFormat="1" applyFont="1" applyFill="1" applyBorder="1" applyAlignment="1">
      <alignment horizontal="right"/>
    </xf>
    <xf numFmtId="164" fontId="7" fillId="0" borderId="0" xfId="0" applyNumberFormat="1" applyFont="1" applyAlignment="1">
      <alignment horizontal="right"/>
    </xf>
    <xf numFmtId="0" fontId="4" fillId="2" borderId="3" xfId="0" applyFont="1" applyFill="1" applyBorder="1" applyAlignment="1">
      <alignment vertical="top"/>
    </xf>
    <xf numFmtId="3" fontId="4" fillId="2" borderId="3" xfId="0" applyNumberFormat="1" applyFont="1" applyFill="1" applyBorder="1" applyAlignment="1">
      <alignment horizontal="right" vertical="top"/>
    </xf>
    <xf numFmtId="0" fontId="8" fillId="2" borderId="4" xfId="0" applyFont="1" applyFill="1" applyBorder="1" applyAlignment="1">
      <alignment horizontal="left" vertical="top"/>
    </xf>
    <xf numFmtId="3" fontId="6" fillId="4" borderId="5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tabSelected="1" workbookViewId="0">
      <selection activeCell="I34" sqref="I34"/>
    </sheetView>
  </sheetViews>
  <sheetFormatPr baseColWidth="10" defaultColWidth="12.5703125" defaultRowHeight="15.75" customHeight="1" x14ac:dyDescent="0.2"/>
  <cols>
    <col min="1" max="1" width="36" customWidth="1"/>
    <col min="5" max="5" width="18.7109375" customWidth="1"/>
  </cols>
  <sheetData>
    <row r="1" spans="1:6" ht="15.75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</row>
    <row r="2" spans="1:6" ht="15.75" customHeight="1" x14ac:dyDescent="0.25">
      <c r="A2" s="4" t="s">
        <v>6</v>
      </c>
      <c r="B2" s="5">
        <v>373100</v>
      </c>
      <c r="C2" s="6">
        <f t="shared" ref="C2:C21" si="0">B2/$B$21*100</f>
        <v>19.217100180272983</v>
      </c>
      <c r="D2" s="7">
        <v>382300</v>
      </c>
      <c r="E2" s="8">
        <f t="shared" ref="E2:E21" si="1">D2/$D$21*100</f>
        <v>19.637353605917404</v>
      </c>
      <c r="F2" s="8">
        <f t="shared" ref="F2:F21" si="2">(B2-D2)/D2*100</f>
        <v>-2.406487052053361</v>
      </c>
    </row>
    <row r="3" spans="1:6" ht="15.75" customHeight="1" x14ac:dyDescent="0.25">
      <c r="A3" s="9" t="s">
        <v>7</v>
      </c>
      <c r="B3" s="10">
        <v>39900</v>
      </c>
      <c r="C3" s="6">
        <f t="shared" si="0"/>
        <v>2.0551120267834149</v>
      </c>
      <c r="D3" s="7">
        <v>41200</v>
      </c>
      <c r="E3" s="8">
        <f t="shared" si="1"/>
        <v>2.1162934045613313</v>
      </c>
      <c r="F3" s="8">
        <f t="shared" si="2"/>
        <v>-3.1553398058252426</v>
      </c>
    </row>
    <row r="4" spans="1:6" ht="15.75" customHeight="1" x14ac:dyDescent="0.25">
      <c r="A4" s="9" t="s">
        <v>8</v>
      </c>
      <c r="B4" s="10">
        <v>49400</v>
      </c>
      <c r="C4" s="6">
        <f t="shared" si="0"/>
        <v>2.5444244141127994</v>
      </c>
      <c r="D4" s="7">
        <v>53000</v>
      </c>
      <c r="E4" s="8">
        <f t="shared" si="1"/>
        <v>2.7224162728580232</v>
      </c>
      <c r="F4" s="8">
        <f t="shared" si="2"/>
        <v>-6.7924528301886795</v>
      </c>
    </row>
    <row r="5" spans="1:6" ht="15.75" customHeight="1" x14ac:dyDescent="0.25">
      <c r="A5" s="9" t="s">
        <v>9</v>
      </c>
      <c r="B5" s="10">
        <v>33900</v>
      </c>
      <c r="C5" s="6">
        <f t="shared" si="0"/>
        <v>1.7460726242595932</v>
      </c>
      <c r="D5" s="7">
        <v>36100</v>
      </c>
      <c r="E5" s="8">
        <f t="shared" si="1"/>
        <v>1.8543250462297105</v>
      </c>
      <c r="F5" s="8">
        <f t="shared" si="2"/>
        <v>-6.094182825484765</v>
      </c>
    </row>
    <row r="6" spans="1:6" ht="15.75" customHeight="1" x14ac:dyDescent="0.25">
      <c r="A6" s="9" t="s">
        <v>10</v>
      </c>
      <c r="B6" s="10">
        <v>97500</v>
      </c>
      <c r="C6" s="6">
        <f t="shared" si="0"/>
        <v>5.0218902910121042</v>
      </c>
      <c r="D6" s="7">
        <v>96800</v>
      </c>
      <c r="E6" s="8">
        <f t="shared" si="1"/>
        <v>4.9722621738237107</v>
      </c>
      <c r="F6" s="8">
        <f t="shared" si="2"/>
        <v>0.72314049586776863</v>
      </c>
    </row>
    <row r="7" spans="1:6" ht="15.75" customHeight="1" x14ac:dyDescent="0.25">
      <c r="A7" s="9" t="s">
        <v>11</v>
      </c>
      <c r="B7" s="10">
        <v>31600</v>
      </c>
      <c r="C7" s="6">
        <f t="shared" si="0"/>
        <v>1.6276075199587947</v>
      </c>
      <c r="D7" s="7">
        <v>31000</v>
      </c>
      <c r="E7" s="8">
        <f t="shared" si="1"/>
        <v>1.5923566878980893</v>
      </c>
      <c r="F7" s="8">
        <f t="shared" si="2"/>
        <v>1.935483870967742</v>
      </c>
    </row>
    <row r="8" spans="1:6" ht="15.75" customHeight="1" x14ac:dyDescent="0.25">
      <c r="A8" s="9" t="s">
        <v>12</v>
      </c>
      <c r="B8" s="10">
        <v>94100</v>
      </c>
      <c r="C8" s="6">
        <f t="shared" si="0"/>
        <v>4.8467679629152718</v>
      </c>
      <c r="D8" s="7">
        <v>94400</v>
      </c>
      <c r="E8" s="8">
        <f t="shared" si="1"/>
        <v>4.8489829463735363</v>
      </c>
      <c r="F8" s="8">
        <f t="shared" si="2"/>
        <v>-0.31779661016949157</v>
      </c>
    </row>
    <row r="9" spans="1:6" ht="15.75" customHeight="1" x14ac:dyDescent="0.25">
      <c r="A9" s="9" t="s">
        <v>13</v>
      </c>
      <c r="B9" s="10">
        <v>93300</v>
      </c>
      <c r="C9" s="6">
        <f t="shared" si="0"/>
        <v>4.8055627092454287</v>
      </c>
      <c r="D9" s="7">
        <v>94000</v>
      </c>
      <c r="E9" s="8">
        <f t="shared" si="1"/>
        <v>4.8284364084651736</v>
      </c>
      <c r="F9" s="8">
        <f t="shared" si="2"/>
        <v>-0.74468085106382986</v>
      </c>
    </row>
    <row r="10" spans="1:6" ht="15.75" customHeight="1" x14ac:dyDescent="0.25">
      <c r="A10" s="9" t="s">
        <v>14</v>
      </c>
      <c r="B10" s="10">
        <v>343900</v>
      </c>
      <c r="C10" s="6">
        <f t="shared" si="0"/>
        <v>17.713108421323721</v>
      </c>
      <c r="D10" s="7">
        <v>337200</v>
      </c>
      <c r="E10" s="8">
        <f t="shared" si="1"/>
        <v>17.320731456749538</v>
      </c>
      <c r="F10" s="8">
        <f t="shared" si="2"/>
        <v>1.9869513641755634</v>
      </c>
    </row>
    <row r="11" spans="1:6" ht="15.75" customHeight="1" x14ac:dyDescent="0.25">
      <c r="A11" s="9" t="s">
        <v>15</v>
      </c>
      <c r="B11" s="10">
        <v>187600</v>
      </c>
      <c r="C11" s="6">
        <f t="shared" si="0"/>
        <v>9.6626319855781606</v>
      </c>
      <c r="D11" s="7">
        <v>188100</v>
      </c>
      <c r="E11" s="8">
        <f t="shared" si="1"/>
        <v>9.6620094514074388</v>
      </c>
      <c r="F11" s="8">
        <f t="shared" si="2"/>
        <v>-0.26581605528973951</v>
      </c>
    </row>
    <row r="12" spans="1:6" ht="15.75" customHeight="1" x14ac:dyDescent="0.25">
      <c r="A12" s="9" t="s">
        <v>16</v>
      </c>
      <c r="B12" s="10">
        <v>46100</v>
      </c>
      <c r="C12" s="6">
        <f t="shared" si="0"/>
        <v>2.3744527427246975</v>
      </c>
      <c r="D12" s="7">
        <v>46200</v>
      </c>
      <c r="E12" s="8">
        <f t="shared" si="1"/>
        <v>2.3731251284158619</v>
      </c>
      <c r="F12" s="8">
        <f t="shared" si="2"/>
        <v>-0.21645021645021645</v>
      </c>
    </row>
    <row r="13" spans="1:6" ht="15.75" customHeight="1" x14ac:dyDescent="0.25">
      <c r="A13" s="9" t="s">
        <v>17</v>
      </c>
      <c r="B13" s="10">
        <v>136600</v>
      </c>
      <c r="C13" s="6">
        <f t="shared" si="0"/>
        <v>7.035797064125676</v>
      </c>
      <c r="D13" s="7">
        <v>135000</v>
      </c>
      <c r="E13" s="8">
        <f t="shared" si="1"/>
        <v>6.9344565440723231</v>
      </c>
      <c r="F13" s="8">
        <f t="shared" si="2"/>
        <v>1.1851851851851851</v>
      </c>
    </row>
    <row r="14" spans="1:6" ht="15.75" customHeight="1" x14ac:dyDescent="0.25">
      <c r="A14" s="9" t="s">
        <v>18</v>
      </c>
      <c r="B14" s="10">
        <v>216300</v>
      </c>
      <c r="C14" s="6">
        <f t="shared" si="0"/>
        <v>11.140870460983777</v>
      </c>
      <c r="D14" s="7">
        <v>213700</v>
      </c>
      <c r="E14" s="8">
        <f t="shared" si="1"/>
        <v>10.976987877542633</v>
      </c>
      <c r="F14" s="8">
        <f t="shared" si="2"/>
        <v>1.2166588675713619</v>
      </c>
    </row>
    <row r="15" spans="1:6" ht="15.75" customHeight="1" x14ac:dyDescent="0.25">
      <c r="A15" s="9" t="s">
        <v>19</v>
      </c>
      <c r="B15" s="10">
        <v>78600</v>
      </c>
      <c r="C15" s="6">
        <f t="shared" si="0"/>
        <v>4.0484161730620656</v>
      </c>
      <c r="D15" s="7">
        <v>78500</v>
      </c>
      <c r="E15" s="8">
        <f t="shared" si="1"/>
        <v>4.032258064516129</v>
      </c>
      <c r="F15" s="8">
        <f t="shared" si="2"/>
        <v>0.12738853503184713</v>
      </c>
    </row>
    <row r="16" spans="1:6" ht="15.75" customHeight="1" x14ac:dyDescent="0.25">
      <c r="A16" s="9" t="s">
        <v>20</v>
      </c>
      <c r="B16" s="10">
        <v>21500</v>
      </c>
      <c r="C16" s="6">
        <f t="shared" si="0"/>
        <v>1.1073911923770281</v>
      </c>
      <c r="D16" s="7">
        <v>20700</v>
      </c>
      <c r="E16" s="8">
        <f t="shared" si="1"/>
        <v>1.0632833367577563</v>
      </c>
      <c r="F16" s="8">
        <f t="shared" si="2"/>
        <v>3.8647342995169081</v>
      </c>
    </row>
    <row r="17" spans="1:6" ht="15.75" customHeight="1" x14ac:dyDescent="0.25">
      <c r="A17" s="9" t="s">
        <v>21</v>
      </c>
      <c r="B17" s="10">
        <v>77200</v>
      </c>
      <c r="C17" s="6">
        <f t="shared" si="0"/>
        <v>3.9763069791398404</v>
      </c>
      <c r="D17" s="7">
        <v>77700</v>
      </c>
      <c r="E17" s="8">
        <f t="shared" si="1"/>
        <v>3.9911649886994041</v>
      </c>
      <c r="F17" s="8">
        <f t="shared" si="2"/>
        <v>-0.64350064350064351</v>
      </c>
    </row>
    <row r="18" spans="1:6" ht="15.75" customHeight="1" x14ac:dyDescent="0.25">
      <c r="A18" s="9" t="s">
        <v>22</v>
      </c>
      <c r="B18" s="10">
        <v>10200</v>
      </c>
      <c r="C18" s="6">
        <f t="shared" si="0"/>
        <v>0.52536698429049711</v>
      </c>
      <c r="D18" s="7">
        <v>10100</v>
      </c>
      <c r="E18" s="8">
        <f t="shared" si="1"/>
        <v>0.51880008218615159</v>
      </c>
      <c r="F18" s="8">
        <f t="shared" si="2"/>
        <v>0.99009900990099009</v>
      </c>
    </row>
    <row r="19" spans="1:6" ht="15.75" customHeight="1" x14ac:dyDescent="0.25">
      <c r="A19" s="9" t="s">
        <v>25</v>
      </c>
      <c r="B19" s="10">
        <v>10700</v>
      </c>
      <c r="C19" s="6">
        <f t="shared" si="0"/>
        <v>0.55112026783414891</v>
      </c>
      <c r="D19" s="7">
        <v>10800</v>
      </c>
      <c r="E19" s="8">
        <f t="shared" si="1"/>
        <v>0.55475652352578586</v>
      </c>
      <c r="F19" s="8">
        <f t="shared" si="2"/>
        <v>-0.92592592592592582</v>
      </c>
    </row>
    <row r="20" spans="1:6" ht="15.75" customHeight="1" x14ac:dyDescent="0.25">
      <c r="A20" s="4" t="s">
        <v>23</v>
      </c>
      <c r="B20" s="10">
        <v>10700</v>
      </c>
      <c r="C20" s="6">
        <f t="shared" si="0"/>
        <v>0.55112026783414891</v>
      </c>
      <c r="D20" s="7">
        <v>10800</v>
      </c>
      <c r="E20" s="8">
        <f t="shared" si="1"/>
        <v>0.55475652352578586</v>
      </c>
      <c r="F20" s="8">
        <f t="shared" si="2"/>
        <v>-0.92592592592592582</v>
      </c>
    </row>
    <row r="21" spans="1:6" ht="15.75" customHeight="1" x14ac:dyDescent="0.25">
      <c r="A21" s="11" t="s">
        <v>24</v>
      </c>
      <c r="B21" s="10">
        <v>1941500</v>
      </c>
      <c r="C21" s="6">
        <f t="shared" si="0"/>
        <v>100</v>
      </c>
      <c r="D21" s="12">
        <v>1946800</v>
      </c>
      <c r="E21" s="8">
        <f t="shared" si="1"/>
        <v>100</v>
      </c>
      <c r="F21" s="8">
        <f t="shared" si="2"/>
        <v>-0.27224162728580237</v>
      </c>
    </row>
  </sheetData>
  <pageMargins left="0.7" right="0.7" top="0.75" bottom="0.75" header="0.3" footer="0.3"/>
  <headerFooter>
    <oddFooter>&amp;L_x000D_&amp;1#&amp;"Aptos"&amp;10&amp;K000000 Clasificación: Interna</oddFooter>
  </headerFooter>
</worksheet>
</file>

<file path=docMetadata/LabelInfo.xml><?xml version="1.0" encoding="utf-8"?>
<clbl:labelList xmlns:clbl="http://schemas.microsoft.com/office/2020/mipLabelMetadata">
  <clbl:label id="{d958723a-5915-4af3-b4cd-4da9a9655e8a}" enabled="1" method="Standard" siteId="{bab5b22c-d82b-452e-9cad-04f9708f4bb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Quifez Embiz, Luis Enrique</cp:lastModifiedBy>
  <dcterms:modified xsi:type="dcterms:W3CDTF">2026-08-29T10:06:33Z</dcterms:modified>
</cp:coreProperties>
</file>