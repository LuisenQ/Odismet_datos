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<sst xmlns="http://schemas.openxmlformats.org/spreadsheetml/2006/main" count="26" uniqueCount="26">
  <si>
    <t>Comunidad Autónoma</t>
  </si>
  <si>
    <t>Valor</t>
  </si>
  <si>
    <t>Porcentaje</t>
  </si>
  <si>
    <t>Año anterior</t>
  </si>
  <si>
    <t>Porcentaje año anterior</t>
  </si>
  <si>
    <t>Diferencia anual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</si>
  <si>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</si>
  <si>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</si>
  <si>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</si>
  <si>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</si>
  <si>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</si>
  <si>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</si>
  <si>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</si>
  <si>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</si>
  <si>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</si>
  <si>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</si>
  <si>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</si>
  <si>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</si>
  <si>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</si>
  <si>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</si>
  <si>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</si>
  <si>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</si>
  <si>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</si>
  <si>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 y Melilla</t>
  </si>
  <si>
    <t>Melilla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</si>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</sst>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14.0"/>
      <color rgb="FF000000"/>
      <name val="Roboto"/>
    </font>
    <font>
      <b/>
      <sz val="11.0"/>
      <color rgb="FFC00000"/>
      <name val="Roboto"/>
    </font>
    <font>
      <b/>
      <sz val="11.0"/>
      <color rgb="FF000000"/>
      <name val="Calibri"/>
    </font>
    <font>
      <sz val="11.0"/>
      <color rgb="FF000000"/>
      <name val="Roboto"/>
    </font>
    <font>
      <sz val="11.0"/>
      <color rgb="FFFFFFFF"/>
      <name val="Roboto"/>
    </font>
    <font>
      <sz val="9.0"/>
      <color rgb="FF000000"/>
      <name val="Arial"/>
    </font>
    <font>
      <sz val="11.0"/>
      <color rgb="FF000000"/>
      <name val="Calibri"/>
    </font>
    <font>
      <b/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54B8C"/>
        <bgColor rgb="FF254B8C"/>
      </patternFill>
    </fill>
    <fill>
      <patternFill patternType="solid">
        <fgColor rgb="FFF3F4F7"/>
        <bgColor rgb="FFF3F4F7"/>
      </patternFill>
    </fill>
  </fills>
  <borders count="6">
    <border/>
    <border>
      <bottom style="thin">
        <color rgb="FFC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2F2F2"/>
      </top>
    </border>
    <border>
      <top style="thin">
        <color rgb="FFC00000"/>
      </top>
      <bottom style="thin">
        <color rgb="FFF2F2F2"/>
      </bottom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 vertical="top"/>
    </xf>
    <xf borderId="0" fillId="2" fontId="4" numFmtId="3" xfId="0" applyAlignment="1" applyFill="1" applyFont="1" applyNumberFormat="1">
      <alignment horizontal="right" readingOrder="0" vertical="top"/>
    </xf>
    <xf borderId="0" fillId="3" fontId="5" numFmtId="164" xfId="0" applyAlignment="1" applyFill="1" applyFont="1" applyNumberFormat="1">
      <alignment horizontal="center" readingOrder="0" vertical="top"/>
    </xf>
    <xf borderId="2" fillId="4" fontId="6" numFmtId="3" xfId="0" applyAlignment="1" applyBorder="1" applyFill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borderId="3" fillId="2" fontId="4" numFmtId="0" xfId="0" applyAlignment="1" applyBorder="1" applyFill="1" applyFont="1">
      <alignment readingOrder="0" vertical="top"/>
    </xf>
    <xf borderId="3" fillId="2" fontId="4" numFmtId="3" xfId="0" applyAlignment="1" applyBorder="1" applyFill="1" applyFont="1" applyNumberFormat="1">
      <alignment horizontal="right" readingOrder="0" vertical="top"/>
    </xf>
    <xf borderId="4" fillId="2" fontId="8" numFmtId="0" xfId="0" applyAlignment="1" applyBorder="1" applyFill="1" applyFont="1">
      <alignment horizontal="left" readingOrder="0" vertical="top"/>
    </xf>
    <xf borderId="5" fillId="4" fontId="6" numFmtId="3" xfId="0" applyAlignment="1" applyBorder="1" applyFill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5" max="5" width="18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>
        <v>373100.0</v>
      </c>
      <c r="C2" s="6">
        <f t="shared" ref="C2:C21" si="1">B2/$B$21*100</f>
        <v>19.21710018</v>
      </c>
      <c r="D2" s="7">
        <v>382300.0</v>
      </c>
      <c r="E2" s="8">
        <f t="shared" ref="E2:E21" si="2">D2/$D$21*100</f>
        <v>19.63735361</v>
      </c>
      <c r="F2" s="8">
        <f t="shared" ref="F2:F21" si="3">(B2-D2)/D2*100</f>
        <v>-2.406487052</v>
      </c>
    </row>
    <row r="3">
      <c r="A3" s="9" t="s">
        <v>7</v>
      </c>
      <c r="B3" s="10">
        <v>39900.0</v>
      </c>
      <c r="C3" s="6">
        <f t="shared" si="1"/>
        <v>2.055112027</v>
      </c>
      <c r="D3" s="7">
        <v>41200.0</v>
      </c>
      <c r="E3" s="8">
        <f t="shared" si="2"/>
        <v>2.116293405</v>
      </c>
      <c r="F3" s="8">
        <f t="shared" si="3"/>
        <v>-3.155339806</v>
      </c>
    </row>
    <row r="4">
      <c r="A4" s="9" t="s">
        <v>8</v>
      </c>
      <c r="B4" s="10">
        <v>49400.0</v>
      </c>
      <c r="C4" s="6">
        <f t="shared" si="1"/>
        <v>2.544424414</v>
      </c>
      <c r="D4" s="7">
        <v>53000.0</v>
      </c>
      <c r="E4" s="8">
        <f t="shared" si="2"/>
        <v>2.722416273</v>
      </c>
      <c r="F4" s="8">
        <f t="shared" si="3"/>
        <v>-6.79245283</v>
      </c>
    </row>
    <row r="5">
      <c r="A5" s="9" t="s">
        <v>9</v>
      </c>
      <c r="B5" s="10">
        <v>33900.0</v>
      </c>
      <c r="C5" s="6">
        <f t="shared" si="1"/>
        <v>1.746072624</v>
      </c>
      <c r="D5" s="7">
        <v>36100.0</v>
      </c>
      <c r="E5" s="8">
        <f t="shared" si="2"/>
        <v>1.854325046</v>
      </c>
      <c r="F5" s="8">
        <f t="shared" si="3"/>
        <v>-6.094182825</v>
      </c>
    </row>
    <row r="6">
      <c r="A6" s="9" t="s">
        <v>10</v>
      </c>
      <c r="B6" s="10">
        <v>97500.0</v>
      </c>
      <c r="C6" s="6">
        <f t="shared" si="1"/>
        <v>5.021890291</v>
      </c>
      <c r="D6" s="7">
        <v>96800.0</v>
      </c>
      <c r="E6" s="8">
        <f t="shared" si="2"/>
        <v>4.972262174</v>
      </c>
      <c r="F6" s="8">
        <f t="shared" si="3"/>
        <v>0.7231404959</v>
      </c>
    </row>
    <row r="7">
      <c r="A7" s="9" t="s">
        <v>11</v>
      </c>
      <c r="B7" s="10">
        <v>31600.0</v>
      </c>
      <c r="C7" s="6">
        <f t="shared" si="1"/>
        <v>1.62760752</v>
      </c>
      <c r="D7" s="7">
        <v>31000.0</v>
      </c>
      <c r="E7" s="8">
        <f t="shared" si="2"/>
        <v>1.592356688</v>
      </c>
      <c r="F7" s="8">
        <f t="shared" si="3"/>
        <v>1.935483871</v>
      </c>
    </row>
    <row r="8">
      <c r="A8" s="9" t="s">
        <v>12</v>
      </c>
      <c r="B8" s="10">
        <v>94100.0</v>
      </c>
      <c r="C8" s="6">
        <f t="shared" si="1"/>
        <v>4.846767963</v>
      </c>
      <c r="D8" s="7">
        <v>94400.0</v>
      </c>
      <c r="E8" s="8">
        <f t="shared" si="2"/>
        <v>4.848982946</v>
      </c>
      <c r="F8" s="8">
        <f t="shared" si="3"/>
        <v>-0.3177966102</v>
      </c>
    </row>
    <row r="9">
      <c r="A9" s="9" t="s">
        <v>13</v>
      </c>
      <c r="B9" s="10">
        <v>93300.0</v>
      </c>
      <c r="C9" s="6">
        <f t="shared" si="1"/>
        <v>4.805562709</v>
      </c>
      <c r="D9" s="7">
        <v>94000.0</v>
      </c>
      <c r="E9" s="8">
        <f t="shared" si="2"/>
        <v>4.828436408</v>
      </c>
      <c r="F9" s="8">
        <f t="shared" si="3"/>
        <v>-0.7446808511</v>
      </c>
    </row>
    <row r="10">
      <c r="A10" s="9" t="s">
        <v>14</v>
      </c>
      <c r="B10" s="10">
        <v>343900.0</v>
      </c>
      <c r="C10" s="6">
        <f t="shared" si="1"/>
        <v>17.71310842</v>
      </c>
      <c r="D10" s="7">
        <v>337200.0</v>
      </c>
      <c r="E10" s="8">
        <f t="shared" si="2"/>
        <v>17.32073146</v>
      </c>
      <c r="F10" s="8">
        <f t="shared" si="3"/>
        <v>1.986951364</v>
      </c>
    </row>
    <row r="11">
      <c r="A11" s="9" t="s">
        <v>15</v>
      </c>
      <c r="B11" s="10">
        <v>187600.0</v>
      </c>
      <c r="C11" s="6">
        <f t="shared" si="1"/>
        <v>9.662631986</v>
      </c>
      <c r="D11" s="7">
        <v>188100.0</v>
      </c>
      <c r="E11" s="8">
        <f t="shared" si="2"/>
        <v>9.662009451</v>
      </c>
      <c r="F11" s="8">
        <f t="shared" si="3"/>
        <v>-0.2658160553</v>
      </c>
    </row>
    <row r="12">
      <c r="A12" s="9" t="s">
        <v>16</v>
      </c>
      <c r="B12" s="10">
        <v>46100.0</v>
      </c>
      <c r="C12" s="6">
        <f t="shared" si="1"/>
        <v>2.374452743</v>
      </c>
      <c r="D12" s="7">
        <v>46200.0</v>
      </c>
      <c r="E12" s="8">
        <f t="shared" si="2"/>
        <v>2.373125128</v>
      </c>
      <c r="F12" s="8">
        <f t="shared" si="3"/>
        <v>-0.2164502165</v>
      </c>
    </row>
    <row r="13">
      <c r="A13" s="9" t="s">
        <v>17</v>
      </c>
      <c r="B13" s="10">
        <v>136600.0</v>
      </c>
      <c r="C13" s="6">
        <f t="shared" si="1"/>
        <v>7.035797064</v>
      </c>
      <c r="D13" s="7">
        <v>135000.0</v>
      </c>
      <c r="E13" s="8">
        <f t="shared" si="2"/>
        <v>6.934456544</v>
      </c>
      <c r="F13" s="8">
        <f t="shared" si="3"/>
        <v>1.185185185</v>
      </c>
    </row>
    <row r="14">
      <c r="A14" s="9" t="s">
        <v>18</v>
      </c>
      <c r="B14" s="10">
        <v>216300.0</v>
      </c>
      <c r="C14" s="6">
        <f t="shared" si="1"/>
        <v>11.14087046</v>
      </c>
      <c r="D14" s="7">
        <v>213700.0</v>
      </c>
      <c r="E14" s="8">
        <f t="shared" si="2"/>
        <v>10.97698788</v>
      </c>
      <c r="F14" s="8">
        <f t="shared" si="3"/>
        <v>1.216658868</v>
      </c>
    </row>
    <row r="15">
      <c r="A15" s="9" t="s">
        <v>19</v>
      </c>
      <c r="B15" s="10">
        <v>78600.0</v>
      </c>
      <c r="C15" s="6">
        <f t="shared" si="1"/>
        <v>4.048416173</v>
      </c>
      <c r="D15" s="7">
        <v>78500.0</v>
      </c>
      <c r="E15" s="8">
        <f t="shared" si="2"/>
        <v>4.032258065</v>
      </c>
      <c r="F15" s="8">
        <f t="shared" si="3"/>
        <v>0.127388535</v>
      </c>
    </row>
    <row r="16">
      <c r="A16" s="9" t="s">
        <v>20</v>
      </c>
      <c r="B16" s="10">
        <v>21500.0</v>
      </c>
      <c r="C16" s="6">
        <f t="shared" si="1"/>
        <v>1.107391192</v>
      </c>
      <c r="D16" s="7">
        <v>20700.0</v>
      </c>
      <c r="E16" s="8">
        <f t="shared" si="2"/>
        <v>1.063283337</v>
      </c>
      <c r="F16" s="8">
        <f t="shared" si="3"/>
        <v>3.8647343</v>
      </c>
    </row>
    <row r="17">
      <c r="A17" s="9" t="s">
        <v>21</v>
      </c>
      <c r="B17" s="10">
        <v>77200.0</v>
      </c>
      <c r="C17" s="6">
        <f t="shared" si="1"/>
        <v>3.976306979</v>
      </c>
      <c r="D17" s="7">
        <v>77700.0</v>
      </c>
      <c r="E17" s="8">
        <f t="shared" si="2"/>
        <v>3.991164989</v>
      </c>
      <c r="F17" s="8">
        <f t="shared" si="3"/>
        <v>-0.6435006435</v>
      </c>
    </row>
    <row r="18">
      <c r="A18" s="9" t="s">
        <v>22</v>
      </c>
      <c r="B18" s="10">
        <v>10200.0</v>
      </c>
      <c r="C18" s="6">
        <f t="shared" si="1"/>
        <v>0.5253669843</v>
      </c>
      <c r="D18" s="7">
        <v>10100.0</v>
      </c>
      <c r="E18" s="8">
        <f t="shared" si="2"/>
        <v>0.5188000822</v>
      </c>
      <c r="F18" s="8">
        <f t="shared" si="3"/>
        <v>0.9900990099</v>
      </c>
    </row>
    <row r="19">
      <c r="A19" s="9" t="s">
        <v>23</v>
      </c>
      <c r="B19" s="10">
        <v>10700.0</v>
      </c>
      <c r="C19" s="6">
        <f t="shared" si="1"/>
        <v>0.5511202678</v>
      </c>
      <c r="D19" s="7">
        <v>10800.0</v>
      </c>
      <c r="E19" s="8">
        <f t="shared" si="2"/>
        <v>0.5547565235</v>
      </c>
      <c r="F19" s="8">
        <f t="shared" si="3"/>
        <v>-0.9259259259</v>
      </c>
    </row>
    <row r="20">
      <c r="A20" s="4" t="s">
        <v>24</v>
      </c>
      <c r="B20" s="10">
        <v>10700.0</v>
      </c>
      <c r="C20" s="6">
        <f t="shared" si="1"/>
        <v>0.5511202678</v>
      </c>
      <c r="D20" s="7">
        <v>10800.0</v>
      </c>
      <c r="E20" s="8">
        <f t="shared" si="2"/>
        <v>0.5547565235</v>
      </c>
      <c r="F20" s="8">
        <f t="shared" si="3"/>
        <v>-0.9259259259</v>
      </c>
    </row>
    <row r="21">
      <c r="A21" s="11" t="s">
        <v>25</v>
      </c>
      <c r="B21" s="10">
        <v>1941500.0</v>
      </c>
      <c r="C21" s="6">
        <f t="shared" si="1"/>
        <v>100</v>
      </c>
      <c r="D21" s="12">
        <v>1946800.0</v>
      </c>
      <c r="E21" s="8">
        <f t="shared" si="2"/>
        <v>100</v>
      </c>
      <c r="F21" s="8">
        <f t="shared" si="3"/>
        <v>-0.2722416273</v>
      </c>
    </row>
  </sheetData>
  <drawing r:id="rId1"/>
</worksheet>
</file>