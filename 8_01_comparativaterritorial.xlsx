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silunion-my.sharepoint.com/personal/lquifez_inserta_fundaciononce_es/Documents/1_ODISMET/Cambios/0. Plantillas/Modulo8/8.01/"/>
    </mc:Choice>
  </mc:AlternateContent>
  <xr:revisionPtr revIDLastSave="0" documentId="8_{A2FE09B0-EDAF-4C3F-BBCE-F9B8829A4CB3}" xr6:coauthVersionLast="47" xr6:coauthVersionMax="47" xr10:uidLastSave="{00000000-0000-0000-0000-000000000000}"/>
  <bookViews>
    <workbookView xWindow="6210" yWindow="5115" windowWidth="28800" windowHeight="15345" xr2:uid="{149EC4CE-4E5E-44E3-81F4-009963DB4C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</calcChain>
</file>

<file path=xl/sharedStrings.xml><?xml version="1.0" encoding="utf-8"?>
<sst xmlns="http://schemas.openxmlformats.org/spreadsheetml/2006/main" count="27" uniqueCount="27">
  <si>
    <t>Comunidad Autónoma</t>
  </si>
  <si>
    <t>Valor</t>
  </si>
  <si>
    <t>Porcentaje</t>
  </si>
  <si>
    <t>Año anterior</t>
  </si>
  <si>
    <t>Porcentaje año anterior</t>
  </si>
  <si>
    <t>Diferencia anual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</si>
  <si>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</si>
  <si>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</si>
  <si>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</si>
  <si>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</si>
  <si>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</si>
  <si>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</si>
  <si>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</si>
  <si>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 - 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</si>
  <si>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</si>
  <si>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</si>
  <si>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</si>
  <si>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</si>
  <si>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</si>
  <si>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</si>
  <si>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</si>
  <si>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</si>
  <si>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</si>
  <si>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Melilla</t>
  </si>
  <si>
    <t>Total</t>
  </si>
  <si>
    <t>Ceuta</t>
  </si>
  <si>
    <t>Porcentaje 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</si>
</sst>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1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4"/>
      <color rgb="FF000000"/>
      <name val="Roboto"/>
    </font>
    <font>
      <b/>
      <sz val="11"/>
      <color rgb="FFC00000"/>
      <name val="Roboto"/>
    </font>
    <font>
      <b/>
      <sz val="11"/>
      <color rgb="FF000000"/>
      <name val="Calibri"/>
    </font>
    <font>
      <sz val="11"/>
      <color rgb="FF000000"/>
      <name val="Roboto"/>
    </font>
    <font>
      <sz val="11"/>
      <color rgb="FFFFFFFF"/>
      <name val="Roboto"/>
    </font>
    <font>
      <sz val="9"/>
      <color rgb="FF000000"/>
      <name val="Arial"/>
    </font>
    <font>
      <sz val="11"/>
      <color rgb="FF000000"/>
      <name val="Calibri"/>
    </font>
    <font>
      <b/>
      <sz val="11"/>
      <color rgb="FF000000"/>
      <name val="Roboto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54B8C"/>
        <bgColor rgb="FF254B8C"/>
      </patternFill>
    </fill>
    <fill>
      <patternFill patternType="solid">
        <fgColor rgb="FFF3F4F7"/>
        <bgColor rgb="FFF3F4F7"/>
      </patternFill>
    </fill>
  </fills>
  <borders count="5">
    <border>
      <left/>
      <right/>
      <top/>
      <bottom/>
      <diagonal/>
    </border>
    <border>
      <left/>
      <right/>
      <top/>
      <bottom style="thin">
        <color rgb="FFC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2F2F2"/>
      </top>
      <bottom/>
      <diagonal/>
    </border>
    <border>
      <left/>
      <right/>
      <top style="thin">
        <color rgb="FFC00000"/>
      </top>
      <bottom style="thin">
        <color rgb="FFF2F2F2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13">
    <xf numFmtId="0" fontId="0" fillId="0" borderId="0" xfId="0"/>
    <xf numFmtId="0" fontId="2" fillId="2" borderId="1" xfId="1" applyFont="1" applyFill="1" applyBorder="1"/>
    <xf numFmtId="0" fontId="3" fillId="2" borderId="1" xfId="1" applyFont="1" applyFill="1" applyBorder="1" applyAlignment="1">
      <alignment horizontal="center"/>
    </xf>
    <xf numFmtId="0" fontId="4" fillId="0" borderId="0" xfId="1" applyFont="1"/>
    <xf numFmtId="0" fontId="5" fillId="2" borderId="0" xfId="1" applyFont="1" applyFill="1" applyAlignment="1">
      <alignment vertical="top"/>
    </xf>
    <xf numFmtId="3" fontId="5" fillId="2" borderId="0" xfId="1" applyNumberFormat="1" applyFont="1" applyFill="1" applyAlignment="1">
      <alignment horizontal="right" vertical="top"/>
    </xf>
    <xf numFmtId="168" fontId="6" fillId="3" borderId="0" xfId="1" applyNumberFormat="1" applyFont="1" applyFill="1" applyAlignment="1">
      <alignment horizontal="center" vertical="top"/>
    </xf>
    <xf numFmtId="3" fontId="7" fillId="4" borderId="2" xfId="1" applyNumberFormat="1" applyFont="1" applyFill="1" applyBorder="1" applyAlignment="1">
      <alignment horizontal="right"/>
    </xf>
    <xf numFmtId="168" fontId="8" fillId="0" borderId="0" xfId="1" applyNumberFormat="1" applyFont="1" applyAlignment="1">
      <alignment horizontal="right"/>
    </xf>
    <xf numFmtId="0" fontId="5" fillId="2" borderId="3" xfId="1" applyFont="1" applyFill="1" applyBorder="1" applyAlignment="1">
      <alignment vertical="top"/>
    </xf>
    <xf numFmtId="3" fontId="5" fillId="2" borderId="3" xfId="1" applyNumberFormat="1" applyFont="1" applyFill="1" applyBorder="1" applyAlignment="1">
      <alignment horizontal="right" vertical="top"/>
    </xf>
    <xf numFmtId="0" fontId="9" fillId="2" borderId="4" xfId="1" applyFont="1" applyFill="1" applyBorder="1" applyAlignment="1">
      <alignment horizontal="left" vertical="top"/>
    </xf>
    <xf numFmtId="3" fontId="9" fillId="2" borderId="4" xfId="1" applyNumberFormat="1" applyFont="1" applyFill="1" applyBorder="1" applyAlignment="1">
      <alignment horizontal="left" vertical="top"/>
    </xf>
  </cellXfs>
  <cellStyles count="3">
    <cellStyle name="Normal" xfId="0" builtinId="0"/>
    <cellStyle name="Normal 2" xfId="1" xr:uid="{22C8F8DB-3A00-4D7D-A707-7C8D3D025DDC}"/>
    <cellStyle name="Normal 3" xfId="2" xr:uid="{1E26D5AD-CD62-461F-9D8D-B74F70A777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6D49-9108-4C3D-89BB-63F8713C0619}">
  <dimension ref="A1:G21"/>
  <sheetViews>
    <sheetView tabSelected="1" workbookViewId="0">
      <selection activeCell="I24" sqref="I24"/>
    </sheetView>
  </sheetViews>
  <sheetFormatPr baseColWidth="10" defaultRowHeight="15" x14ac:dyDescent="0.25"/>
  <cols>
    <col min="1" max="1" width="37.7109375" customWidth="1"/>
    <col min="5" max="5" width="22.140625" bestFit="1" customWidth="1"/>
    <col min="6" max="6" width="20.140625" bestFit="1" customWidth="1"/>
    <col min="7" max="7" width="15.42578125" bestFit="1" customWidth="1"/>
  </cols>
  <sheetData>
    <row r="1" spans="1:7" ht="18.75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26</v>
      </c>
      <c r="G1" s="3" t="s">
        <v>5</v>
      </c>
    </row>
    <row r="2" spans="1:7" x14ac:dyDescent="0.25">
      <c r="A2" s="4" t="s">
        <v>6</v>
      </c>
      <c r="B2" s="5">
        <v>131600</v>
      </c>
      <c r="C2" s="6">
        <f>+B2/$B$21*100</f>
        <v>18.096809680968097</v>
      </c>
      <c r="D2" s="7">
        <v>128300.00000000001</v>
      </c>
      <c r="E2" s="8">
        <v>19.637353610000002</v>
      </c>
      <c r="F2" s="8">
        <v>43.8</v>
      </c>
      <c r="G2" s="8">
        <v>-2.4064870520000001</v>
      </c>
    </row>
    <row r="3" spans="1:7" x14ac:dyDescent="0.25">
      <c r="A3" s="9" t="s">
        <v>7</v>
      </c>
      <c r="B3" s="10">
        <v>14100</v>
      </c>
      <c r="C3" s="6">
        <f t="shared" ref="C3:C20" si="0">+B3/$B$21*100</f>
        <v>1.9389438943894388</v>
      </c>
      <c r="D3" s="7">
        <v>14900</v>
      </c>
      <c r="E3" s="8">
        <v>2.116293405</v>
      </c>
      <c r="F3" s="8">
        <v>42.7</v>
      </c>
      <c r="G3" s="8">
        <v>-3.1553398060000002</v>
      </c>
    </row>
    <row r="4" spans="1:7" x14ac:dyDescent="0.25">
      <c r="A4" s="9" t="s">
        <v>8</v>
      </c>
      <c r="B4" s="10">
        <v>18400</v>
      </c>
      <c r="C4" s="6">
        <f t="shared" si="0"/>
        <v>2.5302530253025304</v>
      </c>
      <c r="D4" s="7">
        <v>19200</v>
      </c>
      <c r="E4" s="8">
        <v>2.7224162729999999</v>
      </c>
      <c r="F4" s="8">
        <v>42.9</v>
      </c>
      <c r="G4" s="8">
        <v>-6.7924528300000002</v>
      </c>
    </row>
    <row r="5" spans="1:7" x14ac:dyDescent="0.25">
      <c r="A5" s="9" t="s">
        <v>9</v>
      </c>
      <c r="B5" s="10">
        <v>13800</v>
      </c>
      <c r="C5" s="6">
        <f t="shared" si="0"/>
        <v>1.8976897689768977</v>
      </c>
      <c r="D5" s="7">
        <v>13700</v>
      </c>
      <c r="E5" s="8">
        <v>1.854325046</v>
      </c>
      <c r="F5" s="8">
        <v>46.2</v>
      </c>
      <c r="G5" s="8">
        <v>-6.0941828249999999</v>
      </c>
    </row>
    <row r="6" spans="1:7" x14ac:dyDescent="0.25">
      <c r="A6" s="9" t="s">
        <v>10</v>
      </c>
      <c r="B6" s="10">
        <v>35200</v>
      </c>
      <c r="C6" s="6">
        <f t="shared" si="0"/>
        <v>4.8404840484048401</v>
      </c>
      <c r="D6" s="7">
        <v>31100</v>
      </c>
      <c r="E6" s="8">
        <v>4.9722621739999999</v>
      </c>
      <c r="F6" s="8">
        <v>48.9</v>
      </c>
      <c r="G6" s="8">
        <v>0.72314049589999996</v>
      </c>
    </row>
    <row r="7" spans="1:7" x14ac:dyDescent="0.25">
      <c r="A7" s="9" t="s">
        <v>11</v>
      </c>
      <c r="B7" s="10">
        <v>12600</v>
      </c>
      <c r="C7" s="6">
        <f t="shared" si="0"/>
        <v>1.7326732673267329</v>
      </c>
      <c r="D7" s="7">
        <v>12300</v>
      </c>
      <c r="E7" s="8">
        <v>1.592356688</v>
      </c>
      <c r="F7" s="8">
        <v>46.2</v>
      </c>
      <c r="G7" s="8">
        <v>1.935483871</v>
      </c>
    </row>
    <row r="8" spans="1:7" x14ac:dyDescent="0.25">
      <c r="A8" s="9" t="s">
        <v>12</v>
      </c>
      <c r="B8" s="10">
        <v>33700</v>
      </c>
      <c r="C8" s="6">
        <f t="shared" si="0"/>
        <v>4.6342134213421344</v>
      </c>
      <c r="D8" s="7">
        <v>32000</v>
      </c>
      <c r="E8" s="8">
        <v>4.8489829459999996</v>
      </c>
      <c r="F8" s="8">
        <v>43.9</v>
      </c>
      <c r="G8" s="8">
        <v>-0.3177966102</v>
      </c>
    </row>
    <row r="9" spans="1:7" x14ac:dyDescent="0.25">
      <c r="A9" s="9" t="s">
        <v>13</v>
      </c>
      <c r="B9" s="10">
        <v>36100</v>
      </c>
      <c r="C9" s="6">
        <f t="shared" si="0"/>
        <v>4.9642464246424645</v>
      </c>
      <c r="D9" s="7">
        <v>35300</v>
      </c>
      <c r="E9" s="8">
        <v>4.828436408</v>
      </c>
      <c r="F9" s="8">
        <v>46.3</v>
      </c>
      <c r="G9" s="8">
        <v>-0.74468085110000004</v>
      </c>
    </row>
    <row r="10" spans="1:7" x14ac:dyDescent="0.25">
      <c r="A10" s="9" t="s">
        <v>14</v>
      </c>
      <c r="B10" s="10">
        <v>131700</v>
      </c>
      <c r="C10" s="6">
        <f t="shared" si="0"/>
        <v>18.110561056105613</v>
      </c>
      <c r="D10" s="7">
        <v>128600</v>
      </c>
      <c r="E10" s="8">
        <v>17.320731460000001</v>
      </c>
      <c r="F10" s="8">
        <v>47.4</v>
      </c>
      <c r="G10" s="8">
        <v>1.9869513640000001</v>
      </c>
    </row>
    <row r="11" spans="1:7" x14ac:dyDescent="0.25">
      <c r="A11" s="9" t="s">
        <v>15</v>
      </c>
      <c r="B11" s="10">
        <v>72500</v>
      </c>
      <c r="C11" s="6">
        <f t="shared" si="0"/>
        <v>9.9697469746974701</v>
      </c>
      <c r="D11" s="7">
        <v>72100</v>
      </c>
      <c r="E11" s="8">
        <v>9.6620094509999994</v>
      </c>
      <c r="F11" s="8">
        <v>45.4</v>
      </c>
      <c r="G11" s="8">
        <v>-0.26581605530000002</v>
      </c>
    </row>
    <row r="12" spans="1:7" x14ac:dyDescent="0.25">
      <c r="A12" s="9" t="s">
        <v>16</v>
      </c>
      <c r="B12" s="10">
        <v>16000</v>
      </c>
      <c r="C12" s="6">
        <f t="shared" si="0"/>
        <v>2.2002200220022003</v>
      </c>
      <c r="D12" s="7">
        <v>15900</v>
      </c>
      <c r="E12" s="8">
        <v>2.3731251279999999</v>
      </c>
      <c r="F12" s="8">
        <v>45.2</v>
      </c>
      <c r="G12" s="8">
        <v>-0.21645021649999999</v>
      </c>
    </row>
    <row r="13" spans="1:7" x14ac:dyDescent="0.25">
      <c r="A13" s="9" t="s">
        <v>17</v>
      </c>
      <c r="B13" s="10">
        <v>45400</v>
      </c>
      <c r="C13" s="6">
        <f t="shared" si="0"/>
        <v>6.2431243124312434</v>
      </c>
      <c r="D13" s="7">
        <v>45500</v>
      </c>
      <c r="E13" s="8">
        <v>6.9344565439999997</v>
      </c>
      <c r="F13" s="8">
        <v>46</v>
      </c>
      <c r="G13" s="8">
        <v>1.1851851849999999</v>
      </c>
    </row>
    <row r="14" spans="1:7" x14ac:dyDescent="0.25">
      <c r="A14" s="9" t="s">
        <v>18</v>
      </c>
      <c r="B14" s="10">
        <v>88300</v>
      </c>
      <c r="C14" s="6">
        <f t="shared" si="0"/>
        <v>12.142464246424641</v>
      </c>
      <c r="D14" s="7">
        <v>87100</v>
      </c>
      <c r="E14" s="8">
        <v>10.976987879999999</v>
      </c>
      <c r="F14" s="8">
        <v>47.2</v>
      </c>
      <c r="G14" s="8">
        <v>1.2166588679999999</v>
      </c>
    </row>
    <row r="15" spans="1:7" x14ac:dyDescent="0.25">
      <c r="A15" s="9" t="s">
        <v>19</v>
      </c>
      <c r="B15" s="10">
        <v>30700</v>
      </c>
      <c r="C15" s="6">
        <f t="shared" si="0"/>
        <v>4.2216721672167212</v>
      </c>
      <c r="D15" s="7">
        <v>31100</v>
      </c>
      <c r="E15" s="8">
        <v>4.0322580649999997</v>
      </c>
      <c r="F15" s="8">
        <v>43.9</v>
      </c>
      <c r="G15" s="8">
        <v>0.127388535</v>
      </c>
    </row>
    <row r="16" spans="1:7" x14ac:dyDescent="0.25">
      <c r="A16" s="9" t="s">
        <v>20</v>
      </c>
      <c r="B16" s="10">
        <v>7100</v>
      </c>
      <c r="C16" s="6">
        <f t="shared" si="0"/>
        <v>0.9763476347634763</v>
      </c>
      <c r="D16" s="7">
        <v>7000</v>
      </c>
      <c r="E16" s="8">
        <v>1.0632833370000001</v>
      </c>
      <c r="F16" s="8">
        <v>42</v>
      </c>
      <c r="G16" s="8">
        <v>3.8647342999999998</v>
      </c>
    </row>
    <row r="17" spans="1:7" x14ac:dyDescent="0.25">
      <c r="A17" s="9" t="s">
        <v>21</v>
      </c>
      <c r="B17" s="10">
        <v>30700</v>
      </c>
      <c r="C17" s="6">
        <f t="shared" si="0"/>
        <v>4.2216721672167212</v>
      </c>
      <c r="D17" s="7">
        <v>30600</v>
      </c>
      <c r="E17" s="8">
        <v>3.9911649890000001</v>
      </c>
      <c r="F17" s="8">
        <v>46.9</v>
      </c>
      <c r="G17" s="8">
        <v>-0.64350064350000002</v>
      </c>
    </row>
    <row r="18" spans="1:7" x14ac:dyDescent="0.25">
      <c r="A18" s="9" t="s">
        <v>22</v>
      </c>
      <c r="B18" s="10">
        <v>3900</v>
      </c>
      <c r="C18" s="6">
        <f t="shared" si="0"/>
        <v>0.5363036303630363</v>
      </c>
      <c r="D18" s="7">
        <v>3900</v>
      </c>
      <c r="E18" s="8">
        <v>0.51880008219999996</v>
      </c>
      <c r="F18" s="8">
        <v>43.8</v>
      </c>
      <c r="G18" s="8">
        <v>0.99009900989999999</v>
      </c>
    </row>
    <row r="19" spans="1:7" x14ac:dyDescent="0.25">
      <c r="A19" s="9" t="s">
        <v>25</v>
      </c>
      <c r="B19" s="10">
        <v>5400</v>
      </c>
      <c r="C19" s="6">
        <f t="shared" si="0"/>
        <v>0.74257425742574257</v>
      </c>
      <c r="D19" s="7">
        <v>5200</v>
      </c>
      <c r="E19" s="8">
        <v>0.55475652350000004</v>
      </c>
      <c r="F19" s="8">
        <v>50.5</v>
      </c>
      <c r="G19" s="8">
        <v>-0.9259259259</v>
      </c>
    </row>
    <row r="20" spans="1:7" x14ac:dyDescent="0.25">
      <c r="A20" s="4" t="s">
        <v>23</v>
      </c>
      <c r="B20" s="10">
        <v>5400</v>
      </c>
      <c r="C20" s="6">
        <f t="shared" si="0"/>
        <v>0.74257425742574257</v>
      </c>
      <c r="D20" s="7">
        <v>5200</v>
      </c>
      <c r="E20" s="8">
        <v>0.55475652350000004</v>
      </c>
      <c r="F20" s="8">
        <v>50.5</v>
      </c>
      <c r="G20" s="8">
        <v>-0.9259259259</v>
      </c>
    </row>
    <row r="21" spans="1:7" x14ac:dyDescent="0.25">
      <c r="A21" s="11" t="s">
        <v>24</v>
      </c>
      <c r="B21" s="12">
        <v>727200</v>
      </c>
      <c r="C21" s="11">
        <v>100</v>
      </c>
      <c r="D21" s="12">
        <v>713700</v>
      </c>
      <c r="E21" s="11">
        <v>100</v>
      </c>
      <c r="F21" s="11">
        <v>45.7</v>
      </c>
      <c r="G21" s="11">
        <v>-0.27224162730000001</v>
      </c>
    </row>
  </sheetData>
  <pageMargins left="0.7" right="0.7" top="0.75" bottom="0.75" header="0.3" footer="0.3"/>
  <headerFooter>
    <oddFooter>&amp;L_x000D_&amp;1#&amp;"Aptos"&amp;10&amp;K000000 Clasificación: Interna</oddFooter>
  </headerFooter>
</worksheet>
</file>

<file path=docMetadata/LabelInfo.xml><?xml version="1.0" encoding="utf-8"?>
<clbl:labelList xmlns:clbl="http://schemas.microsoft.com/office/2020/mipLabelMetadata">
  <clbl:label id="{d958723a-5915-4af3-b4cd-4da9a9655e8a}" enabled="1" method="Standard" siteId="{bab5b22c-d82b-452e-9cad-04f9708f4bb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ILUNION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Quifez Embiz, Luis Enrique</dc:creator>
  <cp:lastModifiedBy>Quifez Embiz, Luis Enrique</cp:lastModifiedBy>
  <dcterms:created xsi:type="dcterms:W3CDTF">2026-08-29T10:01:13Z</dcterms:created>
  <dcterms:modified xsi:type="dcterms:W3CDTF">2026-08-29T10:10:59Z</dcterms:modified>
</cp:coreProperties>
</file>