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60" documentId="13_ncr:1_{3292E8B1-D62E-42F6-AC9F-0C618C41DA9A}" xr6:coauthVersionLast="47" xr6:coauthVersionMax="47" xr10:uidLastSave="{66C1BABC-C2FC-4BD9-91A4-C7EEF0427FE0}"/>
  <bookViews>
    <workbookView xWindow="8715" yWindow="5055" windowWidth="28800" windowHeight="15345" xr2:uid="{00000000-000D-0000-FFFF-FFFF00000000}"/>
  </bookViews>
  <sheets>
    <sheet name="DATOS" sheetId="1" r:id="rId1"/>
    <sheet name="Hoja2" sheetId="2" state="hidden" r:id="rId2"/>
    <sheet name="Hoja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</calcChain>
</file>

<file path=xl/sharedStrings.xml><?xml version="1.0" encoding="utf-8"?>
<sst xmlns="http://schemas.openxmlformats.org/spreadsheetml/2006/main" count="40" uniqueCount="8">
  <si>
    <t>Año</t>
  </si>
  <si>
    <t>Valor</t>
  </si>
  <si>
    <t>Grupo</t>
  </si>
  <si>
    <t>Mujeres con discapacidad</t>
  </si>
  <si>
    <t>Hombres con discapacidad</t>
  </si>
  <si>
    <t>Evolución anual</t>
  </si>
  <si>
    <t>Evolución porcentaje mujeres</t>
  </si>
  <si>
    <t>Evolucióndel procentaje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</si>
</sst>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1F497D"/>
      <name val="Candara"/>
      <family val="2"/>
    </font>
    <font>
      <sz val="10"/>
      <name val="Candara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1" fillId="2" borderId="0" xfId="0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0" fontId="3" fillId="0" borderId="0" xfId="1"/>
    <xf numFmtId="164" fontId="4" fillId="0" borderId="0" xfId="1" applyNumberFormat="1" applyFont="1"/>
    <xf numFmtId="0" fontId="4" fillId="0" borderId="0" xfId="1" applyFont="1"/>
    <xf numFmtId="164" fontId="5" fillId="0" borderId="0" xfId="1" applyNumberFormat="1" applyFont="1"/>
    <xf numFmtId="164" fontId="0" fillId="2" borderId="0" xfId="0" applyNumberFormat="1" applyFill="1"/>
  </cellXfs>
  <cellStyles count="2">
    <cellStyle name="Normal" xfId="0" builtinId="0"/>
    <cellStyle name="Normal 2" xfId="1" xr:uid="{9FF0308F-42A2-4F3B-AEC3-53F887CBF7F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26" customWidth="1"/>
    <col min="4" max="4" width="12.85546875" bestFit="1" customWidth="1"/>
    <col min="5" max="5" width="21" customWidth="1"/>
    <col min="6" max="6" width="20.7109375" bestFit="1" customWidth="1"/>
  </cols>
  <sheetData>
    <row r="1" spans="1:6" x14ac:dyDescent="0.25">
      <c r="A1" t="s">
        <v>2</v>
      </c>
      <c r="B1" t="s">
        <v>0</v>
      </c>
      <c r="C1" t="s">
        <v>1</v>
      </c>
      <c r="D1" s="8" t="s">
        <v>5</v>
      </c>
      <c r="E1" s="9" t="s">
        <v>6</v>
      </c>
      <c r="F1" s="9" t="s">
        <v>7</v>
      </c>
    </row>
    <row r="2" spans="1:6" x14ac:dyDescent="0.25">
      <c r="A2" t="s">
        <v>3</v>
      </c>
      <c r="B2">
        <v>2008</v>
      </c>
      <c r="C2" s="1">
        <v>387400</v>
      </c>
      <c r="D2" s="10"/>
      <c r="E2" s="10">
        <f>+C2/(C2+C19)*100</f>
        <v>44.355392718113123</v>
      </c>
      <c r="F2" s="7"/>
    </row>
    <row r="3" spans="1:6" x14ac:dyDescent="0.25">
      <c r="A3" t="s">
        <v>3</v>
      </c>
      <c r="B3">
        <v>2009</v>
      </c>
      <c r="C3" s="1">
        <v>489700</v>
      </c>
      <c r="D3" s="10">
        <f>(C3-C2)/C2*100</f>
        <v>26.406814661848223</v>
      </c>
      <c r="E3" s="10">
        <f t="shared" ref="E3:E18" si="0">+C3/(C3+C20)*100</f>
        <v>45.267147347014237</v>
      </c>
      <c r="F3" s="10">
        <f>+E2-E3</f>
        <v>-0.91175462890111447</v>
      </c>
    </row>
    <row r="4" spans="1:6" x14ac:dyDescent="0.25">
      <c r="A4" t="s">
        <v>3</v>
      </c>
      <c r="B4">
        <v>2010</v>
      </c>
      <c r="C4" s="1">
        <v>532200</v>
      </c>
      <c r="D4" s="10">
        <f t="shared" ref="D4:D34" si="1">(C4-C3)/C3*100</f>
        <v>8.6787829283234625</v>
      </c>
      <c r="E4" s="10">
        <f t="shared" si="0"/>
        <v>45.417306707629294</v>
      </c>
      <c r="F4" s="10">
        <f t="shared" ref="F4:F18" si="2">+E3-E4</f>
        <v>-0.15015936061505641</v>
      </c>
    </row>
    <row r="5" spans="1:6" x14ac:dyDescent="0.25">
      <c r="A5" t="s">
        <v>3</v>
      </c>
      <c r="B5">
        <v>2011</v>
      </c>
      <c r="C5" s="1">
        <v>574200</v>
      </c>
      <c r="D5" s="10">
        <f t="shared" si="1"/>
        <v>7.8917700112739571</v>
      </c>
      <c r="E5" s="10">
        <f t="shared" si="0"/>
        <v>45.502813218163084</v>
      </c>
      <c r="F5" s="10">
        <f t="shared" si="2"/>
        <v>-8.5506510533789992E-2</v>
      </c>
    </row>
    <row r="6" spans="1:6" x14ac:dyDescent="0.25">
      <c r="A6" t="s">
        <v>3</v>
      </c>
      <c r="B6">
        <v>2012</v>
      </c>
      <c r="C6" s="1">
        <v>660300</v>
      </c>
      <c r="D6" s="10">
        <f t="shared" si="1"/>
        <v>14.994775339602926</v>
      </c>
      <c r="E6" s="10">
        <f t="shared" si="0"/>
        <v>45.512820512820511</v>
      </c>
      <c r="F6" s="10">
        <f t="shared" si="2"/>
        <v>-1.0007294657427224E-2</v>
      </c>
    </row>
    <row r="7" spans="1:6" x14ac:dyDescent="0.25">
      <c r="A7" t="s">
        <v>3</v>
      </c>
      <c r="B7">
        <v>2013</v>
      </c>
      <c r="C7" s="1">
        <v>649700</v>
      </c>
      <c r="D7" s="10">
        <f t="shared" si="1"/>
        <v>-1.6053309101923368</v>
      </c>
      <c r="E7" s="10">
        <f t="shared" si="0"/>
        <v>45.487642652103901</v>
      </c>
      <c r="F7" s="10">
        <f t="shared" si="2"/>
        <v>2.5177860716610212E-2</v>
      </c>
    </row>
    <row r="8" spans="1:6" x14ac:dyDescent="0.25">
      <c r="A8" t="s">
        <v>3</v>
      </c>
      <c r="B8">
        <v>2014</v>
      </c>
      <c r="C8" s="1">
        <v>732700</v>
      </c>
      <c r="D8" s="10">
        <f t="shared" si="1"/>
        <v>12.775126981683854</v>
      </c>
      <c r="E8" s="10">
        <f t="shared" si="0"/>
        <v>42.056021122718398</v>
      </c>
      <c r="F8" s="10">
        <f t="shared" si="2"/>
        <v>3.4316215293855024</v>
      </c>
    </row>
    <row r="9" spans="1:6" x14ac:dyDescent="0.25">
      <c r="A9" t="s">
        <v>3</v>
      </c>
      <c r="B9">
        <v>2015</v>
      </c>
      <c r="C9" s="1">
        <v>751000</v>
      </c>
      <c r="D9" s="10">
        <f t="shared" si="1"/>
        <v>2.4976115736317728</v>
      </c>
      <c r="E9" s="10">
        <f t="shared" si="0"/>
        <v>42.314627000225379</v>
      </c>
      <c r="F9" s="10">
        <f t="shared" si="2"/>
        <v>-0.25860587750698016</v>
      </c>
    </row>
    <row r="10" spans="1:6" x14ac:dyDescent="0.25">
      <c r="A10" t="s">
        <v>3</v>
      </c>
      <c r="B10">
        <v>2016</v>
      </c>
      <c r="C10" s="1">
        <v>782300</v>
      </c>
      <c r="D10" s="10">
        <f t="shared" si="1"/>
        <v>4.1677762982689748</v>
      </c>
      <c r="E10" s="10">
        <f t="shared" si="0"/>
        <v>42.502444854938609</v>
      </c>
      <c r="F10" s="10">
        <f t="shared" si="2"/>
        <v>-0.18781785471323076</v>
      </c>
    </row>
    <row r="11" spans="1:6" x14ac:dyDescent="0.25">
      <c r="A11" t="s">
        <v>3</v>
      </c>
      <c r="B11">
        <v>2017</v>
      </c>
      <c r="C11" s="1">
        <v>791400</v>
      </c>
      <c r="D11" s="10">
        <f t="shared" si="1"/>
        <v>1.1632366099961651</v>
      </c>
      <c r="E11" s="10">
        <f t="shared" si="0"/>
        <v>42.536952432141895</v>
      </c>
      <c r="F11" s="10">
        <f t="shared" si="2"/>
        <v>-3.4507577203285678E-2</v>
      </c>
    </row>
    <row r="12" spans="1:6" x14ac:dyDescent="0.25">
      <c r="A12" t="s">
        <v>3</v>
      </c>
      <c r="B12">
        <v>2018</v>
      </c>
      <c r="C12" s="1">
        <v>809000</v>
      </c>
      <c r="D12" s="10">
        <f t="shared" si="1"/>
        <v>2.2239070002527166</v>
      </c>
      <c r="E12" s="10">
        <f t="shared" si="0"/>
        <v>42.583429834719446</v>
      </c>
      <c r="F12" s="10">
        <f t="shared" si="2"/>
        <v>-4.6477402577551175E-2</v>
      </c>
    </row>
    <row r="13" spans="1:6" x14ac:dyDescent="0.25">
      <c r="A13" t="s">
        <v>3</v>
      </c>
      <c r="B13">
        <v>2019</v>
      </c>
      <c r="C13" s="1">
        <v>810200</v>
      </c>
      <c r="D13" s="10">
        <f t="shared" si="1"/>
        <v>0.14833127317676142</v>
      </c>
      <c r="E13" s="10">
        <f t="shared" si="0"/>
        <v>43.166924183494061</v>
      </c>
      <c r="F13" s="10">
        <f t="shared" si="2"/>
        <v>-0.58349434877461448</v>
      </c>
    </row>
    <row r="14" spans="1:6" x14ac:dyDescent="0.25">
      <c r="A14" t="s">
        <v>3</v>
      </c>
      <c r="B14">
        <v>2020</v>
      </c>
      <c r="C14" s="1">
        <v>841300</v>
      </c>
      <c r="D14" s="10">
        <f t="shared" si="1"/>
        <v>3.838558380646754</v>
      </c>
      <c r="E14" s="10">
        <f t="shared" si="0"/>
        <v>43.516267521853827</v>
      </c>
      <c r="F14" s="10">
        <f t="shared" si="2"/>
        <v>-0.34934333835976616</v>
      </c>
    </row>
    <row r="15" spans="1:6" x14ac:dyDescent="0.25">
      <c r="A15" t="s">
        <v>3</v>
      </c>
      <c r="B15">
        <v>2021</v>
      </c>
      <c r="C15" s="1">
        <v>836900</v>
      </c>
      <c r="D15" s="10">
        <f t="shared" si="1"/>
        <v>-0.52300011886366338</v>
      </c>
      <c r="E15" s="10">
        <f t="shared" si="0"/>
        <v>43.376179123043435</v>
      </c>
      <c r="F15" s="10">
        <f t="shared" si="2"/>
        <v>0.14008839881039137</v>
      </c>
    </row>
    <row r="16" spans="1:6" x14ac:dyDescent="0.25">
      <c r="A16" t="s">
        <v>3</v>
      </c>
      <c r="B16">
        <v>2022</v>
      </c>
      <c r="C16" s="1">
        <v>847400</v>
      </c>
      <c r="D16" s="10">
        <f t="shared" si="1"/>
        <v>1.254630182817541</v>
      </c>
      <c r="E16" s="10">
        <f t="shared" si="0"/>
        <v>43.617459337039328</v>
      </c>
      <c r="F16" s="10">
        <f t="shared" si="2"/>
        <v>-0.24128021399589272</v>
      </c>
    </row>
    <row r="17" spans="1:10" x14ac:dyDescent="0.25">
      <c r="A17" t="s">
        <v>3</v>
      </c>
      <c r="B17">
        <v>2023</v>
      </c>
      <c r="C17" s="1">
        <v>856700</v>
      </c>
      <c r="D17" s="10">
        <f t="shared" si="1"/>
        <v>1.0974746282747228</v>
      </c>
      <c r="E17" s="10">
        <f t="shared" si="0"/>
        <v>44.005547565235261</v>
      </c>
      <c r="F17" s="10">
        <f t="shared" si="2"/>
        <v>-0.38808822819593303</v>
      </c>
    </row>
    <row r="18" spans="1:10" x14ac:dyDescent="0.25">
      <c r="A18" t="s">
        <v>3</v>
      </c>
      <c r="B18">
        <v>2024</v>
      </c>
      <c r="C18" s="1">
        <v>857500</v>
      </c>
      <c r="D18" s="10">
        <f t="shared" si="1"/>
        <v>9.3381580483249682E-2</v>
      </c>
      <c r="E18" s="10">
        <f t="shared" si="0"/>
        <v>44.166881277362862</v>
      </c>
      <c r="F18" s="10">
        <f t="shared" si="2"/>
        <v>-0.16133371212760039</v>
      </c>
    </row>
    <row r="19" spans="1:10" x14ac:dyDescent="0.25">
      <c r="A19" s="2" t="s">
        <v>4</v>
      </c>
      <c r="B19" s="2">
        <v>2008</v>
      </c>
      <c r="C19" s="3">
        <v>486000</v>
      </c>
      <c r="D19" s="2"/>
      <c r="E19" s="2"/>
      <c r="F19" s="2"/>
      <c r="G19" s="2"/>
      <c r="H19" s="2"/>
      <c r="I19" s="2"/>
      <c r="J19" s="2"/>
    </row>
    <row r="20" spans="1:10" x14ac:dyDescent="0.25">
      <c r="A20" s="2" t="s">
        <v>4</v>
      </c>
      <c r="B20" s="2">
        <v>2009</v>
      </c>
      <c r="C20" s="3">
        <v>592100</v>
      </c>
      <c r="D20" s="11">
        <f t="shared" si="1"/>
        <v>21.831275720164609</v>
      </c>
      <c r="E20" s="2"/>
      <c r="F20" s="2"/>
      <c r="G20" s="2"/>
      <c r="H20" s="2"/>
      <c r="I20" s="2"/>
      <c r="J20" s="2"/>
    </row>
    <row r="21" spans="1:10" x14ac:dyDescent="0.25">
      <c r="A21" s="2" t="s">
        <v>4</v>
      </c>
      <c r="B21" s="2">
        <v>2010</v>
      </c>
      <c r="C21" s="3">
        <v>639600</v>
      </c>
      <c r="D21" s="11">
        <f t="shared" si="1"/>
        <v>8.0222935314980575</v>
      </c>
      <c r="E21" s="4"/>
      <c r="F21" s="4"/>
      <c r="G21" s="2"/>
      <c r="H21" s="2"/>
      <c r="I21" s="2"/>
      <c r="J21" s="2"/>
    </row>
    <row r="22" spans="1:10" x14ac:dyDescent="0.25">
      <c r="A22" s="2" t="s">
        <v>4</v>
      </c>
      <c r="B22" s="2">
        <v>2011</v>
      </c>
      <c r="C22" s="3">
        <v>687700</v>
      </c>
      <c r="D22" s="11">
        <f t="shared" si="1"/>
        <v>7.5203252032520336</v>
      </c>
      <c r="E22" s="5"/>
      <c r="F22" s="5"/>
      <c r="G22" s="2"/>
      <c r="H22" s="2"/>
      <c r="I22" s="2"/>
      <c r="J22" s="2"/>
    </row>
    <row r="23" spans="1:10" x14ac:dyDescent="0.25">
      <c r="A23" s="2" t="s">
        <v>4</v>
      </c>
      <c r="B23" s="2">
        <v>2012</v>
      </c>
      <c r="C23" s="3">
        <v>790500</v>
      </c>
      <c r="D23" s="11">
        <f t="shared" si="1"/>
        <v>14.948378653482624</v>
      </c>
      <c r="E23" s="5"/>
      <c r="F23" s="5"/>
      <c r="G23" s="2"/>
      <c r="H23" s="2"/>
      <c r="I23" s="2"/>
      <c r="J23" s="2"/>
    </row>
    <row r="24" spans="1:10" x14ac:dyDescent="0.25">
      <c r="A24" s="2" t="s">
        <v>4</v>
      </c>
      <c r="B24" s="2">
        <v>2013</v>
      </c>
      <c r="C24" s="3">
        <v>778600</v>
      </c>
      <c r="D24" s="11">
        <f t="shared" si="1"/>
        <v>-1.5053763440860215</v>
      </c>
      <c r="E24" s="6"/>
      <c r="F24" s="6"/>
      <c r="G24" s="2"/>
      <c r="H24" s="2"/>
      <c r="I24" s="2"/>
      <c r="J24" s="2"/>
    </row>
    <row r="25" spans="1:10" x14ac:dyDescent="0.25">
      <c r="A25" s="2" t="s">
        <v>4</v>
      </c>
      <c r="B25" s="2">
        <v>2014</v>
      </c>
      <c r="C25" s="3">
        <v>1009500</v>
      </c>
      <c r="D25" s="11">
        <f t="shared" si="1"/>
        <v>29.655792447983558</v>
      </c>
      <c r="E25" s="2"/>
      <c r="F25" s="2"/>
      <c r="G25" s="2"/>
      <c r="H25" s="2"/>
      <c r="I25" s="2"/>
      <c r="J25" s="2"/>
    </row>
    <row r="26" spans="1:10" x14ac:dyDescent="0.25">
      <c r="A26" s="2" t="s">
        <v>4</v>
      </c>
      <c r="B26" s="2">
        <v>2015</v>
      </c>
      <c r="C26" s="3">
        <v>1023800</v>
      </c>
      <c r="D26" s="11">
        <f t="shared" si="1"/>
        <v>1.4165428429915801</v>
      </c>
      <c r="E26" s="2"/>
      <c r="F26" s="2"/>
      <c r="G26" s="2"/>
      <c r="H26" s="2"/>
      <c r="I26" s="2"/>
      <c r="J26" s="2"/>
    </row>
    <row r="27" spans="1:10" x14ac:dyDescent="0.25">
      <c r="A27" s="2" t="s">
        <v>4</v>
      </c>
      <c r="B27" s="2">
        <v>2016</v>
      </c>
      <c r="C27" s="3">
        <v>1058300</v>
      </c>
      <c r="D27" s="11">
        <f t="shared" si="1"/>
        <v>3.3697987888259422</v>
      </c>
      <c r="E27" s="2"/>
      <c r="F27" s="2"/>
      <c r="G27" s="2"/>
      <c r="H27" s="2"/>
      <c r="I27" s="2"/>
      <c r="J27" s="2"/>
    </row>
    <row r="28" spans="1:10" x14ac:dyDescent="0.25">
      <c r="A28" s="2" t="s">
        <v>4</v>
      </c>
      <c r="B28" s="2">
        <v>2017</v>
      </c>
      <c r="C28" s="3">
        <v>1069100</v>
      </c>
      <c r="D28" s="11">
        <f t="shared" si="1"/>
        <v>1.0205045828215062</v>
      </c>
      <c r="E28" s="2"/>
      <c r="F28" s="2"/>
      <c r="G28" s="2"/>
      <c r="H28" s="2"/>
      <c r="I28" s="2"/>
      <c r="J28" s="2"/>
    </row>
    <row r="29" spans="1:10" x14ac:dyDescent="0.25">
      <c r="A29" s="2" t="s">
        <v>4</v>
      </c>
      <c r="B29" s="2">
        <v>2018</v>
      </c>
      <c r="C29" s="3">
        <v>1090800</v>
      </c>
      <c r="D29" s="11">
        <f t="shared" si="1"/>
        <v>2.0297446450285284</v>
      </c>
      <c r="E29" s="2"/>
      <c r="F29" s="2"/>
      <c r="G29" s="2"/>
      <c r="H29" s="2"/>
      <c r="I29" s="2"/>
      <c r="J29" s="2"/>
    </row>
    <row r="30" spans="1:10" x14ac:dyDescent="0.25">
      <c r="A30" s="2" t="s">
        <v>4</v>
      </c>
      <c r="B30" s="2">
        <v>2019</v>
      </c>
      <c r="C30" s="3">
        <v>1066700</v>
      </c>
      <c r="D30" s="11">
        <f t="shared" si="1"/>
        <v>-2.2093876054272092</v>
      </c>
      <c r="E30" s="2"/>
      <c r="F30" s="2"/>
      <c r="G30" s="2"/>
      <c r="H30" s="2"/>
      <c r="I30" s="2"/>
      <c r="J30" s="2"/>
    </row>
    <row r="31" spans="1:10" x14ac:dyDescent="0.25">
      <c r="A31" s="2" t="s">
        <v>4</v>
      </c>
      <c r="B31" s="2">
        <v>2020</v>
      </c>
      <c r="C31" s="3">
        <v>1092000</v>
      </c>
      <c r="D31" s="11">
        <f t="shared" si="1"/>
        <v>2.371800881222462</v>
      </c>
      <c r="E31" s="2"/>
      <c r="F31" s="2"/>
      <c r="G31" s="2"/>
      <c r="H31" s="2"/>
      <c r="I31" s="2"/>
      <c r="J31" s="2"/>
    </row>
    <row r="32" spans="1:10" x14ac:dyDescent="0.25">
      <c r="A32" s="2" t="s">
        <v>4</v>
      </c>
      <c r="B32" s="2">
        <v>2021</v>
      </c>
      <c r="C32" s="3">
        <v>1092500</v>
      </c>
      <c r="D32" s="11">
        <f t="shared" si="1"/>
        <v>4.5787545787545784E-2</v>
      </c>
      <c r="E32" s="2"/>
      <c r="F32" s="2"/>
      <c r="G32" s="2"/>
      <c r="H32" s="2"/>
      <c r="I32" s="2"/>
      <c r="J32" s="2"/>
    </row>
    <row r="33" spans="1:10" x14ac:dyDescent="0.25">
      <c r="A33" s="2" t="s">
        <v>4</v>
      </c>
      <c r="B33" s="2">
        <v>2022</v>
      </c>
      <c r="C33" s="3">
        <v>1095400</v>
      </c>
      <c r="D33" s="11">
        <f t="shared" si="1"/>
        <v>0.26544622425629294</v>
      </c>
      <c r="E33" s="2"/>
      <c r="F33" s="2"/>
      <c r="G33" s="2"/>
      <c r="H33" s="2"/>
      <c r="I33" s="2"/>
      <c r="J33" s="2"/>
    </row>
    <row r="34" spans="1:10" x14ac:dyDescent="0.25">
      <c r="A34" s="2" t="s">
        <v>4</v>
      </c>
      <c r="B34" s="2">
        <v>2023</v>
      </c>
      <c r="C34" s="3">
        <v>1090100</v>
      </c>
      <c r="D34" s="11">
        <f t="shared" si="1"/>
        <v>-0.48384151907978823</v>
      </c>
      <c r="E34" s="2"/>
      <c r="F34" s="2"/>
      <c r="G34" s="2"/>
      <c r="H34" s="2"/>
      <c r="I34" s="2"/>
      <c r="J34" s="2"/>
    </row>
    <row r="35" spans="1:10" x14ac:dyDescent="0.25">
      <c r="A35" s="2" t="s">
        <v>4</v>
      </c>
      <c r="B35" s="2">
        <v>2024</v>
      </c>
      <c r="C35" s="3">
        <v>1084000</v>
      </c>
      <c r="D35" s="2"/>
      <c r="E35" s="2"/>
      <c r="F35" s="2"/>
      <c r="G35" s="2"/>
      <c r="H35" s="2"/>
      <c r="I35" s="2"/>
      <c r="J35" s="2"/>
    </row>
  </sheetData>
  <pageMargins left="0.7" right="0.7" top="0.75" bottom="0.75" header="0.3" footer="0.3"/>
  <headerFooter>
    <oddFooter>&amp;L_x000D_&amp;1#&amp;"Aptos"&amp;10&amp;K000000 Clasificación: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headerFooter>
    <oddFooter>&amp;L_x000D_&amp;1#&amp;"Aptos"&amp;10&amp;K000000 Clasificación: Interna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headerFooter>
    <oddFooter>&amp;L_x000D_&amp;1#&amp;"Aptos"&amp;10&amp;K000000 Clasificación: Interna</oddFooter>
  </headerFooter>
</worksheet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2026-08-29T11:07:57Z</dcterms:modified>
</cp:coreProperties>
</file>